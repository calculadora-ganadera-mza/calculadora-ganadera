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chi\Desktop\"/>
    </mc:Choice>
  </mc:AlternateContent>
  <xr:revisionPtr revIDLastSave="0" documentId="13_ncr:1_{C23C4E66-CB88-442F-8E64-DD8D85F96344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Índices" sheetId="1" r:id="rId1"/>
    <sheet name="Receptividad y destete" sheetId="2" r:id="rId2"/>
    <sheet name="Campo y forraje (secano)" sheetId="3" r:id="rId3"/>
    <sheet name="Planificación del proyecto" sheetId="4" r:id="rId4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D25" i="2"/>
  <c r="D24" i="2"/>
  <c r="D23" i="2"/>
  <c r="E22" i="2"/>
  <c r="D22" i="2"/>
  <c r="D19" i="2"/>
  <c r="E25" i="2" s="1"/>
  <c r="E12" i="2"/>
  <c r="E9" i="2"/>
  <c r="D9" i="1"/>
  <c r="D6" i="1"/>
  <c r="D13" i="1" s="1"/>
  <c r="D10" i="1" l="1"/>
  <c r="D14" i="1" s="1"/>
  <c r="E24" i="2"/>
  <c r="E23" i="2"/>
  <c r="D11" i="1" l="1"/>
</calcChain>
</file>

<file path=xl/sharedStrings.xml><?xml version="1.0" encoding="utf-8"?>
<sst xmlns="http://schemas.openxmlformats.org/spreadsheetml/2006/main" count="157" uniqueCount="146">
  <si>
    <t>(ver calculadora de dieta Cátedra de Prod. Animal FCA)</t>
  </si>
  <si>
    <t>Peso al ingreso kg pv</t>
  </si>
  <si>
    <t>kg pv</t>
  </si>
  <si>
    <t>Peso a la salida kg pv</t>
  </si>
  <si>
    <t>Ganancia de peso por ciclo</t>
  </si>
  <si>
    <t>kg pv/ciclo</t>
  </si>
  <si>
    <t>Dieta % grano</t>
  </si>
  <si>
    <t>kg maíz/kg total dieta</t>
  </si>
  <si>
    <t>MS de ingesta diaria (4% pv/día)</t>
  </si>
  <si>
    <t>kg alimento/día</t>
  </si>
  <si>
    <t>Kg maíz por ciclo</t>
  </si>
  <si>
    <t>kg maíz/día</t>
  </si>
  <si>
    <t>Base forrajera (fibra)</t>
  </si>
  <si>
    <t>kg forraje/día</t>
  </si>
  <si>
    <t>Aumento de kg de peso diario (ADPV)</t>
  </si>
  <si>
    <t>kg pv/día</t>
  </si>
  <si>
    <t>Días de estadía</t>
  </si>
  <si>
    <t>días/ciclo</t>
  </si>
  <si>
    <t>Relación kg maíz/kg pv</t>
  </si>
  <si>
    <t>kg maíz/kg pv ganado</t>
  </si>
  <si>
    <t>Precio del maíz (AR$/kg)</t>
  </si>
  <si>
    <t>AR$/kg maíz</t>
  </si>
  <si>
    <t>Precio pv novillo al INGRESO</t>
  </si>
  <si>
    <t>AR$/kg pv</t>
  </si>
  <si>
    <t>Precio pv novillo al EGRESO</t>
  </si>
  <si>
    <t>Margen Bruto del negocio ($/kg pv)</t>
  </si>
  <si>
    <t>Receptividad ganadera y destete</t>
  </si>
  <si>
    <t>Referencias de color</t>
  </si>
  <si>
    <t>Dato aportado por el usuario</t>
  </si>
  <si>
    <t>Receptividad ganadera</t>
  </si>
  <si>
    <t>Dato según menú desplegable</t>
  </si>
  <si>
    <t>Concepto</t>
  </si>
  <si>
    <t>Opciones / dato</t>
  </si>
  <si>
    <t>Valor</t>
  </si>
  <si>
    <t>Unidad</t>
  </si>
  <si>
    <t>Resultado / nota</t>
  </si>
  <si>
    <t>Resultado de cálculo</t>
  </si>
  <si>
    <t>ha/EV</t>
  </si>
  <si>
    <t>numero de vacas</t>
  </si>
  <si>
    <t>vacas</t>
  </si>
  <si>
    <t>Superficie de campo</t>
  </si>
  <si>
    <t>mm precipitacion</t>
  </si>
  <si>
    <t>kg MS/ha</t>
  </si>
  <si>
    <t>porcentaje de destete: dato o casillero para jugar</t>
  </si>
  <si>
    <t>%</t>
  </si>
  <si>
    <t>Peso de destete: dinamico</t>
  </si>
  <si>
    <t>precio ternero</t>
  </si>
  <si>
    <t xml:space="preserve">calcular rentabilidad </t>
  </si>
  <si>
    <t>porcentaje reposición</t>
  </si>
  <si>
    <t>condición corporal</t>
  </si>
  <si>
    <t>1, 2, 3, 4, 5</t>
  </si>
  <si>
    <t>índice promedio</t>
  </si>
  <si>
    <t>equivalencia de escalas</t>
  </si>
  <si>
    <t>suplementación: creepfeeding o a campo</t>
  </si>
  <si>
    <t>cuanto kg de MS de campo natural me cuesta el kg de ternero</t>
  </si>
  <si>
    <t>Momento de entore / destete</t>
  </si>
  <si>
    <t>Dato</t>
  </si>
  <si>
    <t>Etiqueta</t>
  </si>
  <si>
    <t>Fórmula / valor</t>
  </si>
  <si>
    <t>Fecha resultante</t>
  </si>
  <si>
    <t>momento de entore, de destete,...(en días)</t>
  </si>
  <si>
    <t>FPP</t>
  </si>
  <si>
    <t>Peso de promedio al nacimiento</t>
  </si>
  <si>
    <t>Momento de destete</t>
  </si>
  <si>
    <t>PRECOZ</t>
  </si>
  <si>
    <t>Peso destete</t>
  </si>
  <si>
    <t>100-120</t>
  </si>
  <si>
    <t>dias al destete</t>
  </si>
  <si>
    <t>120-140</t>
  </si>
  <si>
    <t>mas de 140</t>
  </si>
  <si>
    <t>Campo y forraje — SECANO</t>
  </si>
  <si>
    <t>Superficie</t>
  </si>
  <si>
    <t>Superficie total (pendiente de cargar)</t>
  </si>
  <si>
    <t>Aguadas</t>
  </si>
  <si>
    <t>saber la importancia de la distancia (distribución), la calidad</t>
  </si>
  <si>
    <t>Menu desplegable (ver manual)</t>
  </si>
  <si>
    <t>igual dimensión, en el centro</t>
  </si>
  <si>
    <t>kg/ms</t>
  </si>
  <si>
    <t>igual dimensión, en un lado</t>
  </si>
  <si>
    <t>igual dimensión, en una esquina</t>
  </si>
  <si>
    <t xml:space="preserve">kg/ms </t>
  </si>
  <si>
    <t>Precipitación</t>
  </si>
  <si>
    <t>Registro de precipitación (pendiente de cargar)</t>
  </si>
  <si>
    <t>Disponibilidad de materia seca (MS)</t>
  </si>
  <si>
    <t>Toma de muestra: cómo, cuándo (pendiente de definir método)</t>
  </si>
  <si>
    <t>Planificación del proyecto — Calculadora secano</t>
  </si>
  <si>
    <t>Leyenda de colores usados en las calculadoras</t>
  </si>
  <si>
    <t>Resultado destacado / hito (uso observado en el archivo)</t>
  </si>
  <si>
    <t>Aporte de la reunión del 18/07 (uso observado en el archivo)</t>
  </si>
  <si>
    <t>¿Qué ofrece la calculadora?</t>
  </si>
  <si>
    <t>Proyectar el resultado de un modelo productivo</t>
  </si>
  <si>
    <t>Saber si conviene destetar</t>
  </si>
  <si>
    <t>Saber cuándo destetar</t>
  </si>
  <si>
    <t>Saber con cuántos kg destetar</t>
  </si>
  <si>
    <t>Saber la conveniencia económica</t>
  </si>
  <si>
    <t>Agregar contactos de consulta</t>
  </si>
  <si>
    <t>Poder guardar diferentes escenarios</t>
  </si>
  <si>
    <t>Hacer perfil productor/técnico</t>
  </si>
  <si>
    <t>Notificaciones: ej. momento de sacar toros, vacunación...</t>
  </si>
  <si>
    <t>Agregar pregunta final disparadora, para dejar la duda a la consulta</t>
  </si>
  <si>
    <t>Termómetro para tener datos: la carga está por encima, por debajo o está bien</t>
  </si>
  <si>
    <t>Calculadoras por distintos aspectos (planificación)</t>
  </si>
  <si>
    <t>Receptividad ganadera y/o tamaño del rodeo según dimensiones del campo/zona, etc.</t>
  </si>
  <si>
    <t>1.1</t>
  </si>
  <si>
    <t>Elija zona (ver zonas y receptividad según Guevara o Tacchini)</t>
  </si>
  <si>
    <t>1.2</t>
  </si>
  <si>
    <t>Elija estado del campo (según oferta forrajera observada; se relaciona con un índice que afecta la receptividad según bibliografía)</t>
  </si>
  <si>
    <t>Regular / Bueno / Muy bueno</t>
  </si>
  <si>
    <t>1.3</t>
  </si>
  <si>
    <t>Elija tecnologías de manejo (se relaciona con un índice que afecta la receptividad según bibliografía)</t>
  </si>
  <si>
    <t>Suplementación / Destete precoz</t>
  </si>
  <si>
    <t>1.4</t>
  </si>
  <si>
    <t>Indique tamaño del campo (has) — considerar distribución de agua</t>
  </si>
  <si>
    <t>A</t>
  </si>
  <si>
    <t>Resultado: Receptividad y % destete</t>
  </si>
  <si>
    <t>B</t>
  </si>
  <si>
    <t>Resultado: Tamaño máximo del rodeo de cría (vientres + machos + reposición) — descomponer en: vientres, vaquillonas de reposición, toros, terneros, terneras</t>
  </si>
  <si>
    <t>Proyección del estado del rodeo en base a la condición corporal y oferta forrajera</t>
  </si>
  <si>
    <t>2.1</t>
  </si>
  <si>
    <t>Indique condición corporal REAL promedio al parto</t>
  </si>
  <si>
    <t>1 / 2 / 3 / 4 / 5</t>
  </si>
  <si>
    <t>2.2</t>
  </si>
  <si>
    <t>Indique condición corporal ESPERADA promedio al entore</t>
  </si>
  <si>
    <t>3 / 4</t>
  </si>
  <si>
    <t>2.3</t>
  </si>
  <si>
    <t>Indique % de destete actual</t>
  </si>
  <si>
    <t>2.4</t>
  </si>
  <si>
    <t>Indique oferta forrajera (kgMS/ha); por menú desplegable, con tabla de referencia — calcular si es suficiente o deficiente para mantener/mejorar la condición corporal</t>
  </si>
  <si>
    <t>C</t>
  </si>
  <si>
    <t>Resultado: Semáforo</t>
  </si>
  <si>
    <t>Conveniencia económica del destete, según precio de venta y costo de la suplementación</t>
  </si>
  <si>
    <t>3.1</t>
  </si>
  <si>
    <t>Indique precio de venta del ternero</t>
  </si>
  <si>
    <t>3.2</t>
  </si>
  <si>
    <t>Indique precio de compra del alimento</t>
  </si>
  <si>
    <t>3.3</t>
  </si>
  <si>
    <t>Indique kg pv/cab. al destete</t>
  </si>
  <si>
    <t>3.4</t>
  </si>
  <si>
    <t>Indique kg pv/cab. a la venta (*el resultado no incluye costo de mano de obra)</t>
  </si>
  <si>
    <t>D</t>
  </si>
  <si>
    <t>Resultado: Margen bruto en AR$/kg pv</t>
  </si>
  <si>
    <t>Otras ideas y pendientes</t>
  </si>
  <si>
    <t>Comparador de conveniencia económica entre productos (Producto 1 / Producto 2 / Producto 3) — a definir</t>
  </si>
  <si>
    <t>Poder capturar pantalla o guardar versiones en PDF</t>
  </si>
  <si>
    <t>Índices — Calculadora de conveniencia de ganaderia (feedlot)</t>
  </si>
  <si>
    <t>PROPUESTA: Servicio de cálculo de conveniencia de ganaderia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</si>
</sst>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R$ &quot;#,##0"/>
    <numFmt numFmtId="165" formatCode="&quot;AR$ &quot;#,##0.00"/>
    <numFmt numFmtId="166" formatCode="dd/mm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1F4E78"/>
      <name val="Arial"/>
      <charset val="1"/>
    </font>
    <font>
      <b/>
      <i/>
      <sz val="9"/>
      <color rgb="FF595959"/>
      <name val="Arial"/>
      <charset val="1"/>
    </font>
    <font>
      <sz val="10"/>
      <color theme="1"/>
      <name val="Arial"/>
      <charset val="1"/>
    </font>
    <font>
      <i/>
      <sz val="9"/>
      <color rgb="FF808080"/>
      <name val="Arial"/>
      <charset val="1"/>
    </font>
    <font>
      <b/>
      <sz val="12"/>
      <color rgb="FF1F4E7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F2F0"/>
      </patternFill>
    </fill>
    <fill>
      <patternFill patternType="solid">
        <fgColor rgb="FFC6E0B4"/>
        <bgColor rgb="FFD9E1F2"/>
      </patternFill>
    </fill>
    <fill>
      <patternFill patternType="solid">
        <fgColor rgb="FFF4CCF4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D9F2F0"/>
        <b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4" fontId="5" fillId="0" borderId="1" xfId="0" applyNumberFormat="1" applyFont="1" applyBorder="1" applyAlignment="1">
      <alignment horizontal="right"/>
    </xf>
    <xf numFmtId="0" fontId="3" fillId="0" borderId="1" xfId="0" applyFont="1" applyBorder="1"/>
    <xf numFmtId="4" fontId="6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4" fillId="0" borderId="0" xfId="0" applyFont="1"/>
    <xf numFmtId="10" fontId="6" fillId="0" borderId="0" xfId="0" applyNumberFormat="1" applyFont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2" fillId="0" borderId="1" xfId="0" applyFont="1" applyBorder="1"/>
    <xf numFmtId="165" fontId="0" fillId="3" borderId="1" xfId="0" applyNumberFormat="1" applyFill="1" applyBorder="1" applyAlignment="1">
      <alignment horizontal="right"/>
    </xf>
    <xf numFmtId="0" fontId="7" fillId="4" borderId="1" xfId="0" applyFont="1" applyFill="1" applyBorder="1" applyAlignment="1">
      <alignment horizontal="left" indent="1"/>
    </xf>
    <xf numFmtId="0" fontId="4" fillId="5" borderId="1" xfId="0" applyFont="1" applyFill="1" applyBorder="1"/>
    <xf numFmtId="0" fontId="4" fillId="6" borderId="1" xfId="0" applyFont="1" applyFill="1" applyBorder="1"/>
    <xf numFmtId="0" fontId="8" fillId="0" borderId="1" xfId="0" applyFont="1" applyBorder="1"/>
    <xf numFmtId="0" fontId="4" fillId="7" borderId="1" xfId="0" applyFont="1" applyFill="1" applyBorder="1"/>
    <xf numFmtId="0" fontId="9" fillId="8" borderId="1" xfId="0" applyFont="1" applyFill="1" applyBorder="1"/>
    <xf numFmtId="0" fontId="9" fillId="0" borderId="1" xfId="0" applyFont="1" applyBorder="1"/>
    <xf numFmtId="0" fontId="9" fillId="9" borderId="1" xfId="0" applyFont="1" applyFill="1" applyBorder="1"/>
    <xf numFmtId="0" fontId="9" fillId="10" borderId="1" xfId="0" applyFont="1" applyFill="1" applyBorder="1"/>
    <xf numFmtId="0" fontId="9" fillId="11" borderId="1" xfId="0" applyFont="1" applyFill="1" applyBorder="1"/>
    <xf numFmtId="0" fontId="4" fillId="12" borderId="1" xfId="0" applyFont="1" applyFill="1" applyBorder="1"/>
    <xf numFmtId="0" fontId="9" fillId="12" borderId="1" xfId="0" applyFont="1" applyFill="1" applyBorder="1"/>
    <xf numFmtId="166" fontId="9" fillId="8" borderId="1" xfId="0" applyNumberFormat="1" applyFont="1" applyFill="1" applyBorder="1"/>
    <xf numFmtId="166" fontId="9" fillId="9" borderId="1" xfId="0" applyNumberFormat="1" applyFont="1" applyFill="1" applyBorder="1"/>
    <xf numFmtId="166" fontId="9" fillId="12" borderId="1" xfId="0" applyNumberFormat="1" applyFont="1" applyFill="1" applyBorder="1"/>
    <xf numFmtId="166" fontId="9" fillId="0" borderId="1" xfId="0" applyNumberFormat="1" applyFont="1" applyBorder="1"/>
    <xf numFmtId="2" fontId="9" fillId="0" borderId="1" xfId="0" applyNumberFormat="1" applyFont="1" applyBorder="1"/>
    <xf numFmtId="0" fontId="10" fillId="0" borderId="0" xfId="0" applyFont="1"/>
    <xf numFmtId="0" fontId="10" fillId="0" borderId="1" xfId="0" applyFont="1" applyBorder="1"/>
    <xf numFmtId="3" fontId="4" fillId="0" borderId="1" xfId="0" applyNumberFormat="1" applyFont="1" applyBorder="1" applyAlignment="1">
      <alignment horizontal="right"/>
    </xf>
    <xf numFmtId="0" fontId="4" fillId="3" borderId="1" xfId="0" applyFont="1" applyFill="1" applyBorder="1"/>
    <xf numFmtId="0" fontId="4" fillId="13" borderId="1" xfId="0" applyFont="1" applyFill="1" applyBorder="1"/>
    <xf numFmtId="0" fontId="11" fillId="0" borderId="1" xfId="0" applyFont="1" applyBorder="1"/>
    <xf numFmtId="0" fontId="2" fillId="3" borderId="1" xfId="0" applyFont="1" applyFill="1" applyBorder="1"/>
    <xf numFmtId="0" fontId="1" fillId="2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indent="1"/>
    </xf>
    <xf numFmtId="0" fontId="7" fillId="4" borderId="2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F2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4CCF4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Normal="100" workbookViewId="0">
      <selection activeCell="J14" sqref="J14"/>
    </sheetView>
  </sheetViews>
  <sheetFormatPr baseColWidth="10" defaultColWidth="8.7109375" defaultRowHeight="15" x14ac:dyDescent="0.25"/>
  <cols>
    <col min="1" max="1" width="42" customWidth="1"/>
    <col min="2" max="3" width="3" customWidth="1"/>
    <col min="4" max="4" width="13" customWidth="1"/>
    <col min="5" max="5" width="24" customWidth="1"/>
  </cols>
  <sheetData>
    <row r="1" spans="1:5" ht="21.75" customHeight="1" x14ac:dyDescent="0.25">
      <c r="A1" s="40" t="s">
        <v>144</v>
      </c>
      <c r="B1" s="40"/>
      <c r="C1" s="40"/>
      <c r="D1" s="40"/>
      <c r="E1" s="40"/>
    </row>
    <row r="2" spans="1:5" x14ac:dyDescent="0.25">
      <c r="A2" s="1" t="s">
        <v>145</v>
      </c>
    </row>
    <row r="3" spans="1:5" x14ac:dyDescent="0.25">
      <c r="A3" s="2" t="s">
        <v>0</v>
      </c>
    </row>
    <row r="4" spans="1:5" x14ac:dyDescent="0.25">
      <c r="A4" s="3" t="s">
        <v>1</v>
      </c>
      <c r="B4" s="4"/>
      <c r="C4" s="4"/>
      <c r="D4" s="5">
        <v>150</v>
      </c>
      <c r="E4" s="6" t="s">
        <v>2</v>
      </c>
    </row>
    <row r="5" spans="1:5" x14ac:dyDescent="0.25">
      <c r="A5" s="3" t="s">
        <v>3</v>
      </c>
      <c r="B5" s="4"/>
      <c r="C5" s="4"/>
      <c r="D5" s="5">
        <v>230</v>
      </c>
      <c r="E5" s="6" t="s">
        <v>2</v>
      </c>
    </row>
    <row r="6" spans="1:5" x14ac:dyDescent="0.25">
      <c r="A6" s="3" t="s">
        <v>4</v>
      </c>
      <c r="B6" s="4"/>
      <c r="C6" s="4"/>
      <c r="D6" s="7">
        <f>D5-D4</f>
        <v>80</v>
      </c>
      <c r="E6" s="6" t="s">
        <v>5</v>
      </c>
    </row>
    <row r="7" spans="1:5" x14ac:dyDescent="0.25">
      <c r="A7" s="4"/>
      <c r="B7" s="4"/>
      <c r="C7" s="4"/>
      <c r="D7" s="8"/>
      <c r="E7" s="4"/>
    </row>
    <row r="8" spans="1:5" x14ac:dyDescent="0.25">
      <c r="A8" s="3" t="s">
        <v>6</v>
      </c>
      <c r="B8" s="4"/>
      <c r="C8" s="4"/>
      <c r="D8" s="9">
        <v>0.05</v>
      </c>
      <c r="E8" s="6" t="s">
        <v>7</v>
      </c>
    </row>
    <row r="9" spans="1:5" x14ac:dyDescent="0.25">
      <c r="A9" s="3" t="s">
        <v>8</v>
      </c>
      <c r="B9" s="4"/>
      <c r="C9" s="4"/>
      <c r="D9" s="7">
        <f>AVERAGE(D4:D5)*0.04</f>
        <v>7.6000000000000005</v>
      </c>
      <c r="E9" s="6" t="s">
        <v>9</v>
      </c>
    </row>
    <row r="10" spans="1:5" x14ac:dyDescent="0.25">
      <c r="A10" s="3" t="s">
        <v>10</v>
      </c>
      <c r="B10" s="4"/>
      <c r="C10" s="4"/>
      <c r="D10" s="7">
        <f>D9*D8</f>
        <v>0.38000000000000006</v>
      </c>
      <c r="E10" s="6" t="s">
        <v>11</v>
      </c>
    </row>
    <row r="11" spans="1:5" x14ac:dyDescent="0.25">
      <c r="A11" s="3" t="s">
        <v>12</v>
      </c>
      <c r="B11" s="4"/>
      <c r="C11" s="4"/>
      <c r="D11" s="7">
        <f>D9-D10</f>
        <v>7.2200000000000006</v>
      </c>
      <c r="E11" s="6" t="s">
        <v>13</v>
      </c>
    </row>
    <row r="12" spans="1:5" x14ac:dyDescent="0.25">
      <c r="A12" s="3" t="s">
        <v>14</v>
      </c>
      <c r="B12" s="4"/>
      <c r="C12" s="4"/>
      <c r="D12" s="5">
        <v>0.8</v>
      </c>
      <c r="E12" s="6" t="s">
        <v>15</v>
      </c>
    </row>
    <row r="13" spans="1:5" x14ac:dyDescent="0.25">
      <c r="A13" s="3" t="s">
        <v>16</v>
      </c>
      <c r="B13" s="4"/>
      <c r="C13" s="4"/>
      <c r="D13" s="10">
        <f>D6/D12</f>
        <v>100</v>
      </c>
      <c r="E13" s="6" t="s">
        <v>17</v>
      </c>
    </row>
    <row r="14" spans="1:5" x14ac:dyDescent="0.25">
      <c r="A14" s="11" t="s">
        <v>18</v>
      </c>
      <c r="D14" s="12">
        <f>D10/D12</f>
        <v>0.47500000000000003</v>
      </c>
      <c r="E14" s="2" t="s">
        <v>19</v>
      </c>
    </row>
    <row r="17" spans="1:5" x14ac:dyDescent="0.25">
      <c r="A17" s="3" t="s">
        <v>20</v>
      </c>
      <c r="B17" s="4"/>
      <c r="C17" s="4"/>
      <c r="D17" s="13">
        <v>180</v>
      </c>
      <c r="E17" s="6" t="s">
        <v>21</v>
      </c>
    </row>
    <row r="18" spans="1:5" x14ac:dyDescent="0.25">
      <c r="A18" s="3" t="s">
        <v>22</v>
      </c>
      <c r="B18" s="4"/>
      <c r="C18" s="4"/>
      <c r="D18" s="13">
        <v>2000</v>
      </c>
      <c r="E18" s="6" t="s">
        <v>23</v>
      </c>
    </row>
    <row r="19" spans="1:5" x14ac:dyDescent="0.25">
      <c r="A19" s="3" t="s">
        <v>24</v>
      </c>
      <c r="B19" s="4"/>
      <c r="C19" s="4"/>
      <c r="D19" s="13">
        <v>1600</v>
      </c>
      <c r="E19" s="6" t="s">
        <v>23</v>
      </c>
    </row>
    <row r="20" spans="1:5" x14ac:dyDescent="0.25">
      <c r="A20" s="4"/>
      <c r="B20" s="4"/>
      <c r="C20" s="4"/>
      <c r="D20" s="8"/>
      <c r="E20" s="4"/>
    </row>
    <row r="21" spans="1:5" x14ac:dyDescent="0.25">
      <c r="A21" s="14" t="s">
        <v>25</v>
      </c>
      <c r="B21" s="4"/>
      <c r="C21" s="4"/>
      <c r="D21" s="15"/>
      <c r="E21" s="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zoomScaleNormal="100" workbookViewId="0">
      <selection activeCell="C7" sqref="C7"/>
    </sheetView>
  </sheetViews>
  <sheetFormatPr baseColWidth="10" defaultColWidth="8.7109375" defaultRowHeight="15" x14ac:dyDescent="0.25"/>
  <cols>
    <col min="1" max="1" width="42" customWidth="1"/>
    <col min="2" max="2" width="16" customWidth="1"/>
    <col min="3" max="3" width="14" customWidth="1"/>
    <col min="4" max="4" width="16" customWidth="1"/>
    <col min="5" max="5" width="24" customWidth="1"/>
    <col min="6" max="6" width="3" customWidth="1"/>
    <col min="7" max="7" width="50" customWidth="1"/>
  </cols>
  <sheetData>
    <row r="1" spans="1:7" ht="21.75" customHeight="1" x14ac:dyDescent="0.25">
      <c r="A1" s="40" t="s">
        <v>26</v>
      </c>
      <c r="B1" s="40"/>
      <c r="C1" s="40"/>
      <c r="D1" s="40"/>
      <c r="E1" s="40"/>
      <c r="G1" s="16" t="s">
        <v>27</v>
      </c>
    </row>
    <row r="2" spans="1:7" x14ac:dyDescent="0.25">
      <c r="G2" s="17" t="s">
        <v>28</v>
      </c>
    </row>
    <row r="3" spans="1:7" x14ac:dyDescent="0.25">
      <c r="A3" s="41" t="s">
        <v>29</v>
      </c>
      <c r="B3" s="41"/>
      <c r="C3" s="41"/>
      <c r="D3" s="41"/>
      <c r="E3" s="41"/>
      <c r="G3" s="18" t="s">
        <v>30</v>
      </c>
    </row>
    <row r="4" spans="1:7" x14ac:dyDescent="0.25">
      <c r="A4" s="19" t="s">
        <v>31</v>
      </c>
      <c r="B4" s="19" t="s">
        <v>32</v>
      </c>
      <c r="C4" s="19" t="s">
        <v>33</v>
      </c>
      <c r="D4" s="19" t="s">
        <v>34</v>
      </c>
      <c r="E4" s="19" t="s">
        <v>35</v>
      </c>
      <c r="G4" s="20" t="s">
        <v>36</v>
      </c>
    </row>
    <row r="5" spans="1:7" x14ac:dyDescent="0.25">
      <c r="A5" s="3" t="s">
        <v>29</v>
      </c>
      <c r="B5" s="4"/>
      <c r="C5" s="21">
        <v>20</v>
      </c>
      <c r="D5" s="22" t="s">
        <v>37</v>
      </c>
      <c r="E5" s="4"/>
    </row>
    <row r="6" spans="1:7" x14ac:dyDescent="0.25">
      <c r="A6" s="3" t="s">
        <v>38</v>
      </c>
      <c r="B6" s="4"/>
      <c r="C6" s="21">
        <v>75</v>
      </c>
      <c r="D6" s="22" t="s">
        <v>39</v>
      </c>
      <c r="E6" s="4"/>
    </row>
    <row r="7" spans="1:7" x14ac:dyDescent="0.25">
      <c r="A7" s="3" t="s">
        <v>40</v>
      </c>
      <c r="B7" s="4"/>
      <c r="C7" s="21">
        <f>C6*C5</f>
        <v>1500</v>
      </c>
      <c r="D7" s="4"/>
      <c r="E7" s="4"/>
    </row>
    <row r="8" spans="1:7" x14ac:dyDescent="0.25">
      <c r="A8" s="3" t="s">
        <v>41</v>
      </c>
      <c r="B8" s="4"/>
      <c r="C8" s="21">
        <v>280</v>
      </c>
      <c r="D8" s="4"/>
      <c r="E8" s="23" t="s">
        <v>42</v>
      </c>
    </row>
    <row r="9" spans="1:7" x14ac:dyDescent="0.25">
      <c r="A9" s="3" t="s">
        <v>43</v>
      </c>
      <c r="B9" s="4"/>
      <c r="C9" s="22">
        <v>50</v>
      </c>
      <c r="D9" s="22" t="s">
        <v>44</v>
      </c>
      <c r="E9" s="23">
        <f>C6*C9/100</f>
        <v>37.5</v>
      </c>
    </row>
    <row r="10" spans="1:7" x14ac:dyDescent="0.25">
      <c r="A10" s="3" t="s">
        <v>45</v>
      </c>
      <c r="B10" s="4"/>
      <c r="C10" s="21"/>
      <c r="D10" s="22" t="s">
        <v>2</v>
      </c>
      <c r="E10" s="4"/>
    </row>
    <row r="11" spans="1:7" x14ac:dyDescent="0.25">
      <c r="A11" s="3" t="s">
        <v>46</v>
      </c>
      <c r="B11" s="4"/>
      <c r="C11" s="21"/>
      <c r="D11" s="22" t="s">
        <v>23</v>
      </c>
      <c r="E11" s="24" t="s">
        <v>47</v>
      </c>
    </row>
    <row r="12" spans="1:7" x14ac:dyDescent="0.25">
      <c r="A12" s="3" t="s">
        <v>48</v>
      </c>
      <c r="B12" s="4"/>
      <c r="C12" s="21">
        <v>20</v>
      </c>
      <c r="D12" s="22" t="s">
        <v>44</v>
      </c>
      <c r="E12" s="23">
        <f>C6*C12/100</f>
        <v>15</v>
      </c>
    </row>
    <row r="13" spans="1:7" x14ac:dyDescent="0.25">
      <c r="A13" s="3" t="s">
        <v>49</v>
      </c>
      <c r="B13" s="25" t="s">
        <v>50</v>
      </c>
      <c r="C13" s="4"/>
      <c r="D13" s="22" t="s">
        <v>51</v>
      </c>
      <c r="E13" s="22" t="s">
        <v>52</v>
      </c>
    </row>
    <row r="14" spans="1:7" x14ac:dyDescent="0.25">
      <c r="A14" s="3" t="s">
        <v>53</v>
      </c>
      <c r="B14" s="4"/>
      <c r="C14" s="4"/>
      <c r="D14" s="4"/>
      <c r="E14" s="4"/>
    </row>
    <row r="15" spans="1:7" x14ac:dyDescent="0.25">
      <c r="A15" s="26" t="s">
        <v>54</v>
      </c>
      <c r="B15" s="27"/>
      <c r="C15" s="27"/>
      <c r="D15" s="4"/>
      <c r="E15" s="4"/>
    </row>
    <row r="17" spans="1:5" x14ac:dyDescent="0.25">
      <c r="A17" s="41" t="s">
        <v>55</v>
      </c>
      <c r="B17" s="41"/>
      <c r="C17" s="41"/>
      <c r="D17" s="41"/>
      <c r="E17" s="41"/>
    </row>
    <row r="18" spans="1:5" x14ac:dyDescent="0.25">
      <c r="A18" s="19" t="s">
        <v>31</v>
      </c>
      <c r="B18" s="19" t="s">
        <v>56</v>
      </c>
      <c r="C18" s="19" t="s">
        <v>57</v>
      </c>
      <c r="D18" s="19" t="s">
        <v>58</v>
      </c>
      <c r="E18" s="19" t="s">
        <v>59</v>
      </c>
    </row>
    <row r="19" spans="1:5" x14ac:dyDescent="0.25">
      <c r="A19" s="3" t="s">
        <v>60</v>
      </c>
      <c r="B19" s="28">
        <v>45332</v>
      </c>
      <c r="C19" s="22" t="s">
        <v>61</v>
      </c>
      <c r="D19" s="29">
        <f>+B19+283</f>
        <v>45615</v>
      </c>
      <c r="E19" s="4"/>
    </row>
    <row r="20" spans="1:5" x14ac:dyDescent="0.25">
      <c r="A20" s="3" t="s">
        <v>62</v>
      </c>
      <c r="B20" s="21">
        <v>32</v>
      </c>
      <c r="C20" s="4"/>
      <c r="D20" s="4"/>
      <c r="E20" s="4"/>
    </row>
    <row r="21" spans="1:5" x14ac:dyDescent="0.25">
      <c r="A21" s="3" t="s">
        <v>63</v>
      </c>
      <c r="B21" s="4"/>
      <c r="C21" s="4"/>
      <c r="D21" s="4"/>
      <c r="E21" s="4"/>
    </row>
    <row r="22" spans="1:5" x14ac:dyDescent="0.25">
      <c r="A22" s="4"/>
      <c r="B22" s="27">
        <v>80</v>
      </c>
      <c r="C22" s="27" t="s">
        <v>64</v>
      </c>
      <c r="D22" s="27">
        <f>(80-$B$20)/0.6</f>
        <v>80</v>
      </c>
      <c r="E22" s="30">
        <f>$D$19+D22</f>
        <v>45695</v>
      </c>
    </row>
    <row r="23" spans="1:5" x14ac:dyDescent="0.25">
      <c r="A23" s="3" t="s">
        <v>65</v>
      </c>
      <c r="B23" s="25" t="s">
        <v>66</v>
      </c>
      <c r="C23" s="22" t="s">
        <v>67</v>
      </c>
      <c r="D23" s="22">
        <f>(110-$B$20)/0.6</f>
        <v>130</v>
      </c>
      <c r="E23" s="31">
        <f>$D$19+D23</f>
        <v>45745</v>
      </c>
    </row>
    <row r="24" spans="1:5" x14ac:dyDescent="0.25">
      <c r="A24" s="4"/>
      <c r="B24" s="25" t="s">
        <v>68</v>
      </c>
      <c r="C24" s="4"/>
      <c r="D24" s="32">
        <f>(120-$B$20)/0.6</f>
        <v>146.66666666666669</v>
      </c>
      <c r="E24" s="31">
        <f>$D$19+D24</f>
        <v>45761.666666666664</v>
      </c>
    </row>
    <row r="25" spans="1:5" x14ac:dyDescent="0.25">
      <c r="A25" s="4"/>
      <c r="B25" s="25" t="s">
        <v>69</v>
      </c>
      <c r="C25" s="4"/>
      <c r="D25" s="22">
        <f>(140-$B$20)/0.6</f>
        <v>180</v>
      </c>
      <c r="E25" s="31">
        <f>$D$19+D25</f>
        <v>45795</v>
      </c>
    </row>
  </sheetData>
  <mergeCells count="3">
    <mergeCell ref="A1:E1"/>
    <mergeCell ref="A3:E3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Normal="100" workbookViewId="0">
      <selection activeCell="B38" sqref="B38"/>
    </sheetView>
  </sheetViews>
  <sheetFormatPr baseColWidth="10" defaultColWidth="8.7109375" defaultRowHeight="15" x14ac:dyDescent="0.25"/>
  <cols>
    <col min="1" max="1" width="22" customWidth="1"/>
    <col min="2" max="2" width="45" customWidth="1"/>
    <col min="3" max="4" width="30" customWidth="1"/>
    <col min="5" max="5" width="12" customWidth="1"/>
    <col min="6" max="6" width="10" customWidth="1"/>
  </cols>
  <sheetData>
    <row r="1" spans="1:6" ht="21.75" customHeight="1" x14ac:dyDescent="0.25">
      <c r="A1" s="40" t="s">
        <v>70</v>
      </c>
      <c r="B1" s="40"/>
      <c r="C1" s="40"/>
      <c r="D1" s="40"/>
      <c r="E1" s="40"/>
      <c r="F1" s="40"/>
    </row>
    <row r="3" spans="1:6" x14ac:dyDescent="0.25">
      <c r="A3" s="41" t="s">
        <v>71</v>
      </c>
      <c r="B3" s="41"/>
      <c r="C3" s="41"/>
      <c r="D3" s="41"/>
      <c r="E3" s="41"/>
      <c r="F3" s="41"/>
    </row>
    <row r="4" spans="1:6" x14ac:dyDescent="0.25">
      <c r="A4" s="33" t="s">
        <v>72</v>
      </c>
    </row>
    <row r="6" spans="1:6" x14ac:dyDescent="0.25">
      <c r="A6" s="41" t="s">
        <v>73</v>
      </c>
      <c r="B6" s="41"/>
      <c r="C6" s="41"/>
      <c r="D6" s="41"/>
      <c r="E6" s="41"/>
      <c r="F6" s="41"/>
    </row>
    <row r="7" spans="1:6" x14ac:dyDescent="0.25">
      <c r="B7" s="34" t="s">
        <v>74</v>
      </c>
      <c r="C7" s="34" t="s">
        <v>75</v>
      </c>
      <c r="D7" s="3" t="s">
        <v>76</v>
      </c>
      <c r="E7" s="35">
        <v>309000</v>
      </c>
      <c r="F7" s="3" t="s">
        <v>77</v>
      </c>
    </row>
    <row r="8" spans="1:6" x14ac:dyDescent="0.25">
      <c r="B8" s="4"/>
      <c r="C8" s="4"/>
      <c r="D8" s="3" t="s">
        <v>78</v>
      </c>
      <c r="E8" s="35">
        <v>154000</v>
      </c>
      <c r="F8" s="3" t="s">
        <v>77</v>
      </c>
    </row>
    <row r="9" spans="1:6" x14ac:dyDescent="0.25">
      <c r="B9" s="4"/>
      <c r="C9" s="4"/>
      <c r="D9" s="3" t="s">
        <v>79</v>
      </c>
      <c r="E9" s="35">
        <v>75500</v>
      </c>
      <c r="F9" s="3" t="s">
        <v>80</v>
      </c>
    </row>
    <row r="11" spans="1:6" x14ac:dyDescent="0.25">
      <c r="A11" s="41" t="s">
        <v>81</v>
      </c>
      <c r="B11" s="41"/>
      <c r="C11" s="41"/>
      <c r="D11" s="41"/>
      <c r="E11" s="41"/>
      <c r="F11" s="41"/>
    </row>
    <row r="12" spans="1:6" x14ac:dyDescent="0.25">
      <c r="A12" s="33" t="s">
        <v>82</v>
      </c>
    </row>
    <row r="14" spans="1:6" x14ac:dyDescent="0.25">
      <c r="A14" s="41" t="s">
        <v>83</v>
      </c>
      <c r="B14" s="41"/>
      <c r="C14" s="41"/>
      <c r="D14" s="41"/>
      <c r="E14" s="41"/>
      <c r="F14" s="41"/>
    </row>
    <row r="15" spans="1:6" x14ac:dyDescent="0.25">
      <c r="A15" s="33" t="s">
        <v>84</v>
      </c>
    </row>
  </sheetData>
  <mergeCells count="5">
    <mergeCell ref="A1:F1"/>
    <mergeCell ref="A3:F3"/>
    <mergeCell ref="A6:F6"/>
    <mergeCell ref="A11:F11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tabSelected="1" topLeftCell="A19" zoomScaleNormal="100" workbookViewId="0">
      <selection activeCell="B44" sqref="B44"/>
    </sheetView>
  </sheetViews>
  <sheetFormatPr baseColWidth="10" defaultColWidth="8.7109375" defaultRowHeight="15" x14ac:dyDescent="0.25"/>
  <cols>
    <col min="1" max="1" width="6" customWidth="1"/>
    <col min="2" max="2" width="55" customWidth="1"/>
    <col min="3" max="7" width="16" customWidth="1"/>
  </cols>
  <sheetData>
    <row r="1" spans="1:7" ht="21.75" customHeight="1" x14ac:dyDescent="0.25">
      <c r="A1" s="40" t="s">
        <v>85</v>
      </c>
      <c r="B1" s="40"/>
      <c r="C1" s="40"/>
      <c r="D1" s="40"/>
      <c r="E1" s="40"/>
      <c r="F1" s="40"/>
      <c r="G1" s="40"/>
    </row>
    <row r="3" spans="1:7" x14ac:dyDescent="0.25">
      <c r="A3" s="42" t="s">
        <v>86</v>
      </c>
      <c r="B3" s="42"/>
      <c r="C3" s="42"/>
      <c r="D3" s="42"/>
      <c r="E3" s="42"/>
      <c r="F3" s="42"/>
      <c r="G3" s="42"/>
    </row>
    <row r="4" spans="1:7" x14ac:dyDescent="0.25">
      <c r="A4" s="4"/>
      <c r="B4" s="17" t="s">
        <v>28</v>
      </c>
    </row>
    <row r="5" spans="1:7" x14ac:dyDescent="0.25">
      <c r="A5" s="4"/>
      <c r="B5" s="18" t="s">
        <v>30</v>
      </c>
    </row>
    <row r="6" spans="1:7" x14ac:dyDescent="0.25">
      <c r="A6" s="4"/>
      <c r="B6" s="20" t="s">
        <v>36</v>
      </c>
    </row>
    <row r="7" spans="1:7" x14ac:dyDescent="0.25">
      <c r="A7" s="4"/>
      <c r="B7" s="36" t="s">
        <v>87</v>
      </c>
    </row>
    <row r="8" spans="1:7" x14ac:dyDescent="0.25">
      <c r="A8" s="4"/>
      <c r="B8" s="37" t="s">
        <v>88</v>
      </c>
    </row>
    <row r="11" spans="1:7" x14ac:dyDescent="0.25">
      <c r="A11" s="42" t="s">
        <v>89</v>
      </c>
      <c r="B11" s="42"/>
      <c r="C11" s="42"/>
      <c r="D11" s="42"/>
      <c r="E11" s="42"/>
      <c r="F11" s="42"/>
      <c r="G11" s="42"/>
    </row>
    <row r="12" spans="1:7" x14ac:dyDescent="0.25">
      <c r="A12" s="4"/>
      <c r="B12" s="3" t="s">
        <v>90</v>
      </c>
    </row>
    <row r="13" spans="1:7" x14ac:dyDescent="0.25">
      <c r="A13" s="4"/>
      <c r="B13" s="3" t="s">
        <v>91</v>
      </c>
    </row>
    <row r="14" spans="1:7" x14ac:dyDescent="0.25">
      <c r="A14" s="4"/>
      <c r="B14" s="3" t="s">
        <v>92</v>
      </c>
    </row>
    <row r="15" spans="1:7" x14ac:dyDescent="0.25">
      <c r="A15" s="4"/>
      <c r="B15" s="3" t="s">
        <v>93</v>
      </c>
    </row>
    <row r="16" spans="1:7" x14ac:dyDescent="0.25">
      <c r="A16" s="4"/>
      <c r="B16" s="3" t="s">
        <v>94</v>
      </c>
    </row>
    <row r="17" spans="1:7" x14ac:dyDescent="0.25">
      <c r="A17" s="4"/>
      <c r="B17" s="3" t="s">
        <v>95</v>
      </c>
    </row>
    <row r="18" spans="1:7" x14ac:dyDescent="0.25">
      <c r="A18" s="4"/>
      <c r="B18" s="3" t="s">
        <v>96</v>
      </c>
    </row>
    <row r="19" spans="1:7" x14ac:dyDescent="0.25">
      <c r="A19" s="4"/>
      <c r="B19" s="3" t="s">
        <v>97</v>
      </c>
    </row>
    <row r="20" spans="1:7" x14ac:dyDescent="0.25">
      <c r="A20" s="4"/>
      <c r="B20" s="3" t="s">
        <v>98</v>
      </c>
    </row>
    <row r="21" spans="1:7" x14ac:dyDescent="0.25">
      <c r="A21" s="4"/>
      <c r="B21" s="3" t="s">
        <v>99</v>
      </c>
    </row>
    <row r="22" spans="1:7" x14ac:dyDescent="0.25">
      <c r="A22" s="4"/>
      <c r="B22" s="3" t="s">
        <v>100</v>
      </c>
    </row>
    <row r="25" spans="1:7" x14ac:dyDescent="0.25">
      <c r="A25" s="41" t="s">
        <v>101</v>
      </c>
      <c r="B25" s="41"/>
      <c r="C25" s="41"/>
      <c r="D25" s="41"/>
      <c r="E25" s="41"/>
      <c r="F25" s="41"/>
      <c r="G25" s="41"/>
    </row>
    <row r="27" spans="1:7" ht="15.75" x14ac:dyDescent="0.25">
      <c r="A27" s="38">
        <v>1</v>
      </c>
      <c r="B27" s="14" t="s">
        <v>102</v>
      </c>
      <c r="C27" s="4"/>
      <c r="D27" s="4"/>
      <c r="E27" s="4"/>
      <c r="F27" s="4"/>
      <c r="G27" s="4"/>
    </row>
    <row r="28" spans="1:7" x14ac:dyDescent="0.25">
      <c r="A28" s="34" t="s">
        <v>103</v>
      </c>
      <c r="B28" s="3" t="s">
        <v>104</v>
      </c>
      <c r="C28" s="4"/>
      <c r="D28" s="4"/>
      <c r="E28" s="4"/>
      <c r="F28" s="4"/>
      <c r="G28" s="4"/>
    </row>
    <row r="29" spans="1:7" x14ac:dyDescent="0.25">
      <c r="A29" s="34" t="s">
        <v>105</v>
      </c>
      <c r="B29" s="3" t="s">
        <v>106</v>
      </c>
      <c r="C29" s="3" t="s">
        <v>107</v>
      </c>
      <c r="D29" s="4"/>
      <c r="E29" s="4"/>
      <c r="F29" s="4"/>
      <c r="G29" s="4"/>
    </row>
    <row r="30" spans="1:7" x14ac:dyDescent="0.25">
      <c r="A30" s="34" t="s">
        <v>108</v>
      </c>
      <c r="B30" s="3" t="s">
        <v>109</v>
      </c>
      <c r="C30" s="3" t="s">
        <v>110</v>
      </c>
      <c r="D30" s="4"/>
      <c r="E30" s="4"/>
      <c r="F30" s="4"/>
      <c r="G30" s="4"/>
    </row>
    <row r="31" spans="1:7" x14ac:dyDescent="0.25">
      <c r="A31" s="34" t="s">
        <v>111</v>
      </c>
      <c r="B31" s="3" t="s">
        <v>112</v>
      </c>
      <c r="C31" s="4"/>
      <c r="D31" s="4"/>
      <c r="E31" s="4"/>
      <c r="F31" s="4"/>
      <c r="G31" s="4"/>
    </row>
    <row r="32" spans="1:7" x14ac:dyDescent="0.25">
      <c r="A32" s="39" t="s">
        <v>113</v>
      </c>
      <c r="B32" s="39" t="s">
        <v>114</v>
      </c>
      <c r="C32" s="4"/>
      <c r="D32" s="4"/>
      <c r="E32" s="4"/>
      <c r="F32" s="4"/>
      <c r="G32" s="4"/>
    </row>
    <row r="33" spans="1:7" x14ac:dyDescent="0.25">
      <c r="A33" s="39" t="s">
        <v>115</v>
      </c>
      <c r="B33" s="39" t="s">
        <v>116</v>
      </c>
      <c r="C33" s="4"/>
      <c r="D33" s="4"/>
      <c r="E33" s="4"/>
      <c r="F33" s="4"/>
      <c r="G33" s="4"/>
    </row>
    <row r="35" spans="1:7" ht="15.75" x14ac:dyDescent="0.25">
      <c r="A35" s="38">
        <v>2</v>
      </c>
      <c r="B35" s="14" t="s">
        <v>117</v>
      </c>
      <c r="C35" s="4"/>
      <c r="D35" s="4"/>
      <c r="E35" s="4"/>
      <c r="F35" s="4"/>
      <c r="G35" s="4"/>
    </row>
    <row r="36" spans="1:7" x14ac:dyDescent="0.25">
      <c r="A36" s="34" t="s">
        <v>118</v>
      </c>
      <c r="B36" s="3" t="s">
        <v>119</v>
      </c>
      <c r="C36" s="3" t="s">
        <v>120</v>
      </c>
      <c r="D36" s="4"/>
      <c r="E36" s="4"/>
      <c r="F36" s="4"/>
      <c r="G36" s="4"/>
    </row>
    <row r="37" spans="1:7" x14ac:dyDescent="0.25">
      <c r="A37" s="34" t="s">
        <v>121</v>
      </c>
      <c r="B37" s="3" t="s">
        <v>122</v>
      </c>
      <c r="C37" s="3" t="s">
        <v>123</v>
      </c>
      <c r="D37" s="4"/>
      <c r="E37" s="4"/>
      <c r="F37" s="4"/>
      <c r="G37" s="4"/>
    </row>
    <row r="38" spans="1:7" x14ac:dyDescent="0.25">
      <c r="A38" s="34" t="s">
        <v>124</v>
      </c>
      <c r="B38" s="3" t="s">
        <v>125</v>
      </c>
      <c r="C38" s="4"/>
      <c r="D38" s="4"/>
      <c r="E38" s="4"/>
      <c r="F38" s="4"/>
      <c r="G38" s="4"/>
    </row>
    <row r="39" spans="1:7" x14ac:dyDescent="0.25">
      <c r="A39" s="34" t="s">
        <v>126</v>
      </c>
      <c r="B39" s="3" t="s">
        <v>127</v>
      </c>
      <c r="C39" s="4"/>
      <c r="D39" s="4"/>
      <c r="E39" s="4"/>
      <c r="F39" s="4"/>
      <c r="G39" s="4"/>
    </row>
    <row r="40" spans="1:7" x14ac:dyDescent="0.25">
      <c r="A40" s="39" t="s">
        <v>128</v>
      </c>
      <c r="B40" s="39" t="s">
        <v>129</v>
      </c>
      <c r="C40" s="4"/>
      <c r="D40" s="4"/>
      <c r="E40" s="4"/>
      <c r="F40" s="4"/>
      <c r="G40" s="4"/>
    </row>
    <row r="42" spans="1:7" ht="15.75" x14ac:dyDescent="0.25">
      <c r="A42" s="38">
        <v>3</v>
      </c>
      <c r="B42" s="14" t="s">
        <v>130</v>
      </c>
      <c r="C42" s="4"/>
      <c r="D42" s="4"/>
      <c r="E42" s="4"/>
      <c r="F42" s="4"/>
      <c r="G42" s="4"/>
    </row>
    <row r="43" spans="1:7" x14ac:dyDescent="0.25">
      <c r="A43" s="34" t="s">
        <v>131</v>
      </c>
      <c r="B43" s="3" t="s">
        <v>132</v>
      </c>
      <c r="C43" s="4"/>
      <c r="D43" s="4"/>
      <c r="E43" s="4"/>
      <c r="F43" s="4"/>
      <c r="G43" s="4"/>
    </row>
    <row r="44" spans="1:7" x14ac:dyDescent="0.25">
      <c r="A44" s="34" t="s">
        <v>133</v>
      </c>
      <c r="B44" s="3" t="s">
        <v>134</v>
      </c>
      <c r="C44" s="4"/>
      <c r="D44" s="4"/>
      <c r="E44" s="4"/>
      <c r="F44" s="4"/>
      <c r="G44" s="4"/>
    </row>
    <row r="45" spans="1:7" x14ac:dyDescent="0.25">
      <c r="A45" s="34" t="s">
        <v>135</v>
      </c>
      <c r="B45" s="3" t="s">
        <v>136</v>
      </c>
      <c r="C45" s="4"/>
      <c r="D45" s="4"/>
      <c r="E45" s="4"/>
      <c r="F45" s="4"/>
      <c r="G45" s="4"/>
    </row>
    <row r="46" spans="1:7" x14ac:dyDescent="0.25">
      <c r="A46" s="34" t="s">
        <v>137</v>
      </c>
      <c r="B46" s="3" t="s">
        <v>138</v>
      </c>
      <c r="C46" s="4"/>
      <c r="D46" s="4"/>
      <c r="E46" s="4"/>
      <c r="F46" s="4"/>
      <c r="G46" s="4"/>
    </row>
    <row r="47" spans="1:7" x14ac:dyDescent="0.25">
      <c r="A47" s="39" t="s">
        <v>139</v>
      </c>
      <c r="B47" s="39" t="s">
        <v>140</v>
      </c>
      <c r="C47" s="4"/>
      <c r="D47" s="4"/>
      <c r="E47" s="4"/>
      <c r="F47" s="4"/>
      <c r="G47" s="4"/>
    </row>
    <row r="49" spans="1:7" x14ac:dyDescent="0.25">
      <c r="A49" s="42" t="s">
        <v>141</v>
      </c>
      <c r="B49" s="42"/>
      <c r="C49" s="42"/>
      <c r="D49" s="42"/>
      <c r="E49" s="42"/>
      <c r="F49" s="42"/>
      <c r="G49" s="42"/>
    </row>
    <row r="50" spans="1:7" x14ac:dyDescent="0.25">
      <c r="A50" s="4"/>
      <c r="B50" s="3" t="s">
        <v>142</v>
      </c>
    </row>
    <row r="51" spans="1:7" x14ac:dyDescent="0.25">
      <c r="A51" s="4"/>
      <c r="B51" s="3" t="s">
        <v>143</v>
      </c>
    </row>
  </sheetData>
  <mergeCells count="5">
    <mergeCell ref="A1:G1"/>
    <mergeCell ref="A3:G3"/>
    <mergeCell ref="A11:G11"/>
    <mergeCell ref="A25:G25"/>
    <mergeCell ref="A49:G4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Índices</vt:lpstr>
      <vt:lpstr>Receptividad y destete</vt:lpstr>
      <vt:lpstr>Campo y forraje (secano)</vt:lpstr>
      <vt:lpstr>Planificación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Pachi ‎‎</cp:lastModifiedBy>
  <cp:revision>0</cp:revision>
  <dcterms:created xsi:type="dcterms:W3CDTF">2026-09-01T14:50:43Z</dcterms:created>
  <dcterms:modified xsi:type="dcterms:W3CDTF">2026-09-07T23:13:57Z</dcterms:modified>
  <dc:language>en-US</dc:language>
</cp:coreProperties>
</file>